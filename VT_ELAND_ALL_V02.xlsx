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_MACIEK\Uczelnia\Przedmioty\Integrated Energy Resource Planning\ELAND_02\"/>
    </mc:Choice>
  </mc:AlternateContent>
  <xr:revisionPtr revIDLastSave="0" documentId="13_ncr:1_{4E947942-ED87-4F85-B5A7-C54B12BACD7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GRID" sheetId="13" r:id="rId8"/>
    <sheet name="Deman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9" l="1"/>
  <c r="E6" i="13"/>
  <c r="D6" i="13"/>
  <c r="C6" i="13"/>
  <c r="B6" i="13"/>
  <c r="C9" i="9"/>
  <c r="F17" i="9"/>
  <c r="E17" i="9"/>
  <c r="D17" i="9"/>
  <c r="C17" i="9"/>
  <c r="F11" i="8"/>
  <c r="C11" i="8"/>
  <c r="D11" i="8"/>
  <c r="E11" i="8"/>
  <c r="C11" i="3"/>
  <c r="D11" i="3"/>
  <c r="E11" i="3"/>
  <c r="D9" i="8"/>
  <c r="D10" i="8"/>
  <c r="C10" i="8"/>
  <c r="C9" i="8"/>
  <c r="F10" i="8"/>
  <c r="F9" i="8"/>
  <c r="O10" i="8"/>
  <c r="P10" i="8" s="1"/>
  <c r="O9" i="8"/>
  <c r="O12" i="8" s="1"/>
  <c r="P9" i="8" l="1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9E78AFC4-2BAE-403F-95E2-523753FAAFF4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14" authorId="0" shapeId="0" xr:uid="{A71BDD28-0CE9-4974-B2FE-EBDD5AD48B4E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<sst xmlns="http://schemas.openxmlformats.org/spreadsheetml/2006/main" count="327" uniqueCount="188">
  <si>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</si>
  <si>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</si>
  <si>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</si>
  <si>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</si>
  <si>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</si>
  <si>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</si>
  <si>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</si>
  <si>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</si>
  <si>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</si>
  <si>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</si>
  <si>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</si>
  <si>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</si>
  <si>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</si>
  <si>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</si>
  <si>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</si>
  <si>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</si>
  <si>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</si>
  <si>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</si>
  <si>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</si>
  <si>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</si>
  <si>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</si>
  <si>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</si>
  <si>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</si>
  <si>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</si>
  <si>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</si>
  <si>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</si>
  <si>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</si>
  <si>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</si>
  <si>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</si>
  <si>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</si>
  <si>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</si>
  <si>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</si>
  <si>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</si>
  <si>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</si>
  <si>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</si>
  <si>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</si>
  <si>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</si>
  <si>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</si>
  <si>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</si>
  <si>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</si>
  <si>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</si>
  <si>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</si>
  <si>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</si>
  <si>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</si>
  <si>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</si>
  <si>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</si>
  <si>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</si>
  <si>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</si>
  <si>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</si>
  <si>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</si>
  <si>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</si>
  <si>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</si>
  <si>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</si>
  <si>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</si>
  <si>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</si>
  <si>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</si>
  <si>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</si>
  <si>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</si>
  <si>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</si>
  <si>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</si>
  <si>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</si>
  <si>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</si>
  <si>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</si>
  <si>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</si>
  <si>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</si>
  <si>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</si>
  <si>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</si>
  <si>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</si>
  <si>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</si>
  <si>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</si>
  <si>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</si>
  <si>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</si>
  <si>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</si>
  <si>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</si>
  <si>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</si>
  <si>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</si>
  <si>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</si>
  <si>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</si>
  <si>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</si>
  <si>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</si>
  <si>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</si>
  <si>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</si>
  <si>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</si>
  <si>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</si>
  <si>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</si>
  <si>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</si>
  <si>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</si>
  <si>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</si>
  <si>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</si>
  <si>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</si>
  <si>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</si>
  <si>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</si>
  <si>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</si>
  <si>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</si>
  <si>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</si>
  <si>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</si>
  <si>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</si>
  <si>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</si>
  <si>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</si>
  <si>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</si>
  <si>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</si>
  <si>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</si>
  <si>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</si>
  <si>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</si>
  <si>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</si>
  <si>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</si>
  <si>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</si>
  <si>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</si>
  <si>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</si>
  <si>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</si>
  <si>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</si>
  <si>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</si>
  <si>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</si>
  <si>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</si>
  <si>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</si>
  <si>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</si>
  <si>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</si>
  <si>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</si>
  <si>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</si>
  <si>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</si>
  <si>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</si>
  <si>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</si>
  <si>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</si>
  <si>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</si>
  <si>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</si>
  <si>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</si>
  <si>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</si>
  <si>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</si>
  <si>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</si>
  <si>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</si>
  <si>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</si>
  <si>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</si>
  <si>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</si>
  <si>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</si>
  <si>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</si>
  <si>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</si>
  <si>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</si>
  <si>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</si>
  <si>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</si>
  <si>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</si>
  <si>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</si>
  <si>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</si>
  <si>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</si>
  <si>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</si>
  <si>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</si>
  <si>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</si>
  <si>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</si>
  <si>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</si>
  <si>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</si>
  <si>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</si>
  <si>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</si>
  <si>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</si>
  <si>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</si>
  <si>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</si>
  <si>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</si>
  <si>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</si>
  <si>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</si>
  <si>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</si>
  <si>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</si>
  <si>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</si>
  <si>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</si>
  <si>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</si>
  <si>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</si>
  <si>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</si>
  <si>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</si>
  <si>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</si>
  <si>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</si>
  <si>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</si>
  <si>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ELC_LV</t>
  </si>
  <si>
    <t>ELC_FIN</t>
  </si>
  <si>
    <t>Low Voltage</t>
  </si>
  <si>
    <t>Final demand</t>
  </si>
  <si>
    <t>EX_PP_WIND</t>
  </si>
  <si>
    <t>Power Plant - Wind Tuebine</t>
  </si>
  <si>
    <t>MIN_WIND_ON</t>
  </si>
  <si>
    <t>Supply Wind Onshore</t>
  </si>
  <si>
    <t>WIND_ON</t>
  </si>
  <si>
    <t>Wind Onshore</t>
  </si>
  <si>
    <t>\I:</t>
  </si>
  <si>
    <t>Demand process</t>
  </si>
  <si>
    <t>DMD</t>
  </si>
  <si>
    <t>DMD_FIN_ELC</t>
  </si>
  <si>
    <t>Final electricity demand</t>
  </si>
  <si>
    <t>PRE</t>
  </si>
  <si>
    <t>EX_ELC_GRID</t>
  </si>
  <si>
    <t>Existing Grid</t>
  </si>
  <si>
    <t>SEASON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</si>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</sst>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23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0" fontId="18" fillId="3" borderId="0" xfId="0" applyFont="1" applyFill="1"/>
    <xf numFmtId="164" fontId="19" fillId="4" borderId="2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/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3" borderId="9" xfId="0" applyFont="1" applyFill="1" applyBorder="1"/>
    <xf numFmtId="0" fontId="18" fillId="3" borderId="10" xfId="0" applyFont="1" applyFill="1" applyBorder="1"/>
    <xf numFmtId="0" fontId="18" fillId="6" borderId="9" xfId="0" applyFont="1" applyFill="1" applyBorder="1"/>
    <xf numFmtId="0" fontId="18" fillId="6" borderId="10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164" fontId="18" fillId="5" borderId="6" xfId="1" applyNumberFormat="1" applyFont="1" applyFill="1" applyBorder="1" applyAlignment="1">
      <alignment horizontal="center" vertical="center" wrapText="1"/>
    </xf>
    <xf numFmtId="0" fontId="18" fillId="7" borderId="11" xfId="0" applyFont="1" applyFill="1" applyBorder="1"/>
    <xf numFmtId="164" fontId="18" fillId="7" borderId="4" xfId="1" applyNumberFormat="1" applyFont="1" applyFill="1" applyBorder="1" applyAlignment="1">
      <alignment horizontal="center" vertical="center" wrapText="1"/>
    </xf>
    <xf numFmtId="0" fontId="0" fillId="8" borderId="12" xfId="0" applyFill="1" applyBorder="1"/>
    <xf numFmtId="0" fontId="0" fillId="8" borderId="14" xfId="0" applyFill="1" applyBorder="1"/>
    <xf numFmtId="0" fontId="0" fillId="8" borderId="16" xfId="0" applyFill="1" applyBorder="1"/>
    <xf numFmtId="0" fontId="0" fillId="8" borderId="3" xfId="0" applyFill="1" applyBorder="1"/>
    <xf numFmtId="0" fontId="0" fillId="8" borderId="17" xfId="0" applyFill="1" applyBorder="1"/>
    <xf numFmtId="0" fontId="0" fillId="8" borderId="13" xfId="0" applyFill="1" applyBorder="1"/>
    <xf numFmtId="0" fontId="0" fillId="8" borderId="15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12" xfId="0" applyNumberFormat="1" applyFont="1" applyFill="1" applyBorder="1"/>
    <xf numFmtId="164" fontId="9" fillId="3" borderId="1" xfId="0" applyNumberFormat="1" applyFont="1" applyFill="1" applyBorder="1"/>
    <xf numFmtId="164" fontId="9" fillId="3" borderId="13" xfId="0" applyNumberFormat="1" applyFont="1" applyFill="1" applyBorder="1"/>
    <xf numFmtId="164" fontId="19" fillId="4" borderId="18" xfId="0" applyNumberFormat="1" applyFont="1" applyFill="1" applyBorder="1" applyAlignment="1">
      <alignment horizontal="center" vertical="center" wrapText="1"/>
    </xf>
    <xf numFmtId="164" fontId="19" fillId="4" borderId="19" xfId="0" applyNumberFormat="1" applyFont="1" applyFill="1" applyBorder="1" applyAlignment="1">
      <alignment horizontal="center" vertical="center" wrapText="1"/>
    </xf>
    <xf numFmtId="164" fontId="18" fillId="5" borderId="18" xfId="1" applyNumberFormat="1" applyFont="1" applyFill="1" applyBorder="1" applyAlignment="1">
      <alignment horizontal="center" vertical="center" wrapText="1"/>
    </xf>
    <xf numFmtId="164" fontId="18" fillId="5" borderId="19" xfId="1" applyNumberFormat="1" applyFont="1" applyFill="1" applyBorder="1" applyAlignment="1">
      <alignment horizontal="center" vertical="center" wrapText="1"/>
    </xf>
    <xf numFmtId="0" fontId="18" fillId="7" borderId="20" xfId="0" applyFont="1" applyFill="1" applyBorder="1"/>
    <xf numFmtId="0" fontId="18" fillId="7" borderId="21" xfId="0" applyFont="1" applyFill="1" applyBorder="1"/>
    <xf numFmtId="0" fontId="18" fillId="3" borderId="22" xfId="0" applyFont="1" applyFill="1" applyBorder="1"/>
    <xf numFmtId="0" fontId="18" fillId="3" borderId="23" xfId="0" applyFont="1" applyFill="1" applyBorder="1"/>
    <xf numFmtId="0" fontId="18" fillId="6" borderId="22" xfId="0" applyFont="1" applyFill="1" applyBorder="1"/>
    <xf numFmtId="0" fontId="18" fillId="6" borderId="23" xfId="0" applyFont="1" applyFill="1" applyBorder="1"/>
    <xf numFmtId="0" fontId="18" fillId="6" borderId="24" xfId="0" applyFont="1" applyFill="1" applyBorder="1"/>
    <xf numFmtId="0" fontId="18" fillId="6" borderId="25" xfId="0" applyFont="1" applyFill="1" applyBorder="1"/>
    <xf numFmtId="0" fontId="18" fillId="6" borderId="26" xfId="0" applyFont="1" applyFill="1" applyBorder="1"/>
    <xf numFmtId="0" fontId="9" fillId="3" borderId="12" xfId="0" applyFont="1" applyFill="1" applyBorder="1"/>
    <xf numFmtId="0" fontId="9" fillId="3" borderId="1" xfId="0" applyFont="1" applyFill="1" applyBorder="1"/>
    <xf numFmtId="0" fontId="9" fillId="3" borderId="13" xfId="0" applyFont="1" applyFill="1" applyBorder="1"/>
    <xf numFmtId="0" fontId="19" fillId="4" borderId="18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8" fillId="3" borderId="24" xfId="0" applyFont="1" applyFill="1" applyBorder="1"/>
    <xf numFmtId="0" fontId="18" fillId="3" borderId="29" xfId="0" applyFont="1" applyFill="1" applyBorder="1"/>
    <xf numFmtId="0" fontId="18" fillId="3" borderId="25" xfId="0" applyFont="1" applyFill="1" applyBorder="1"/>
    <xf numFmtId="0" fontId="18" fillId="3" borderId="26" xfId="0" applyFont="1" applyFill="1" applyBorder="1"/>
    <xf numFmtId="0" fontId="9" fillId="3" borderId="1" xfId="2" applyFont="1" applyFill="1" applyBorder="1" applyAlignment="1">
      <alignment horizontal="left"/>
    </xf>
    <xf numFmtId="164" fontId="19" fillId="4" borderId="30" xfId="0" applyNumberFormat="1" applyFont="1" applyFill="1" applyBorder="1" applyAlignment="1">
      <alignment horizontal="center" vertical="center" wrapText="1"/>
    </xf>
    <xf numFmtId="164" fontId="19" fillId="4" borderId="31" xfId="0" applyNumberFormat="1" applyFont="1" applyFill="1" applyBorder="1" applyAlignment="1">
      <alignment horizontal="center" vertical="center" wrapText="1"/>
    </xf>
    <xf numFmtId="164" fontId="18" fillId="5" borderId="30" xfId="1" applyNumberFormat="1" applyFont="1" applyFill="1" applyBorder="1" applyAlignment="1">
      <alignment horizontal="center" vertical="center" wrapText="1"/>
    </xf>
    <xf numFmtId="164" fontId="18" fillId="5" borderId="31" xfId="1" applyNumberFormat="1" applyFont="1" applyFill="1" applyBorder="1" applyAlignment="1">
      <alignment horizontal="center" vertical="center" wrapText="1"/>
    </xf>
    <xf numFmtId="164" fontId="18" fillId="7" borderId="32" xfId="1" applyNumberFormat="1" applyFont="1" applyFill="1" applyBorder="1" applyAlignment="1">
      <alignment horizontal="center" vertical="center" wrapText="1"/>
    </xf>
    <xf numFmtId="164" fontId="18" fillId="7" borderId="33" xfId="1" applyNumberFormat="1" applyFont="1" applyFill="1" applyBorder="1" applyAlignment="1">
      <alignment horizontal="center" vertical="center" wrapText="1"/>
    </xf>
    <xf numFmtId="0" fontId="18" fillId="3" borderId="14" xfId="0" applyFont="1" applyFill="1" applyBorder="1"/>
    <xf numFmtId="0" fontId="18" fillId="3" borderId="15" xfId="0" applyFont="1" applyFill="1" applyBorder="1"/>
    <xf numFmtId="0" fontId="18" fillId="6" borderId="3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32" xfId="0" applyFont="1" applyFill="1" applyBorder="1"/>
    <xf numFmtId="0" fontId="18" fillId="7" borderId="33" xfId="0" applyFont="1" applyFill="1" applyBorder="1"/>
    <xf numFmtId="0" fontId="18" fillId="3" borderId="16" xfId="0" applyFont="1" applyFill="1" applyBorder="1"/>
    <xf numFmtId="0" fontId="18" fillId="3" borderId="17" xfId="0" applyFont="1" applyFill="1" applyBorder="1"/>
    <xf numFmtId="0" fontId="9" fillId="8" borderId="15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31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left"/>
    </xf>
    <xf numFmtId="0" fontId="0" fillId="0" borderId="13" xfId="0" applyBorder="1"/>
    <xf numFmtId="0" fontId="18" fillId="5" borderId="30" xfId="1" applyFont="1" applyFill="1" applyBorder="1" applyAlignment="1">
      <alignment horizontal="center" vertical="center" wrapText="1"/>
    </xf>
    <xf numFmtId="0" fontId="18" fillId="5" borderId="2" xfId="1" applyFont="1" applyFill="1" applyBorder="1" applyAlignment="1">
      <alignment horizontal="center" vertical="center" wrapText="1"/>
    </xf>
    <xf numFmtId="0" fontId="18" fillId="5" borderId="31" xfId="1" applyFont="1" applyFill="1" applyBorder="1" applyAlignment="1">
      <alignment horizontal="center" vertical="center" wrapText="1"/>
    </xf>
    <xf numFmtId="0" fontId="18" fillId="7" borderId="32" xfId="1" applyFont="1" applyFill="1" applyBorder="1" applyAlignment="1">
      <alignment horizontal="center" vertical="center" wrapText="1"/>
    </xf>
    <xf numFmtId="0" fontId="18" fillId="7" borderId="4" xfId="1" applyFont="1" applyFill="1" applyBorder="1" applyAlignment="1">
      <alignment horizontal="center" vertical="center" wrapText="1"/>
    </xf>
    <xf numFmtId="0" fontId="18" fillId="7" borderId="33" xfId="1" applyFont="1" applyFill="1" applyBorder="1" applyAlignment="1">
      <alignment horizontal="center" vertical="center" wrapText="1"/>
    </xf>
    <xf numFmtId="2" fontId="0" fillId="0" borderId="34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36" xfId="0" applyFill="1" applyBorder="1"/>
    <xf numFmtId="164" fontId="19" fillId="4" borderId="37" xfId="0" applyNumberFormat="1" applyFont="1" applyFill="1" applyBorder="1" applyAlignment="1">
      <alignment horizontal="center" vertical="center" wrapText="1"/>
    </xf>
    <xf numFmtId="0" fontId="0" fillId="3" borderId="40" xfId="0" applyFill="1" applyBorder="1"/>
    <xf numFmtId="0" fontId="18" fillId="6" borderId="14" xfId="0" applyFont="1" applyFill="1" applyBorder="1"/>
    <xf numFmtId="0" fontId="18" fillId="6" borderId="0" xfId="0" applyFont="1" applyFill="1"/>
    <xf numFmtId="0" fontId="18" fillId="6" borderId="15" xfId="0" applyFont="1" applyFill="1" applyBorder="1"/>
    <xf numFmtId="0" fontId="18" fillId="9" borderId="16" xfId="0" applyFont="1" applyFill="1" applyBorder="1"/>
    <xf numFmtId="0" fontId="18" fillId="9" borderId="3" xfId="0" applyFont="1" applyFill="1" applyBorder="1"/>
    <xf numFmtId="0" fontId="18" fillId="9" borderId="17" xfId="0" applyFont="1" applyFill="1" applyBorder="1"/>
    <xf numFmtId="0" fontId="0" fillId="9" borderId="41" xfId="0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38" xfId="0" applyNumberFormat="1" applyFont="1" applyFill="1" applyBorder="1" applyAlignment="1">
      <alignment horizontal="center" vertical="center" wrapText="1"/>
    </xf>
    <xf numFmtId="164" fontId="19" fillId="4" borderId="39" xfId="0" applyNumberFormat="1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36" xfId="0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0" xfId="0" applyFill="1" applyBorder="1" applyAlignment="1">
      <alignment horizontal="center"/>
    </xf>
  </cellXfs>
  <cellStyles count="4">
    <cellStyle name="Normal" xfId="0" builtinId="0"/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18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22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defaultRowHeight="15" x14ac:dyDescent="0.25"/>
  <cols>
    <col min="2" max="2" width="19.140625" customWidth="1"/>
    <col min="3" max="3" width="15.42578125" customWidth="1"/>
    <col min="6" max="6" width="4.7109375" bestFit="1" customWidth="1"/>
    <col min="7" max="7" width="9.28515625" bestFit="1" customWidth="1"/>
    <col min="8" max="8" width="1.7109375" bestFit="1" customWidth="1"/>
    <col min="9" max="9" width="5.28515625" bestFit="1" customWidth="1"/>
    <col min="10" max="10" width="9" bestFit="1" customWidth="1"/>
    <col min="11" max="11" width="1.7109375" bestFit="1" customWidth="1"/>
    <col min="12" max="12" width="8.7109375" bestFit="1" customWidth="1"/>
    <col min="13" max="13" width="7.28515625" bestFit="1" customWidth="1"/>
  </cols>
  <sheetData>
    <row r="2" spans="2:13" x14ac:dyDescent="0.25">
      <c r="B2" s="9" t="s">
        <v>92</v>
      </c>
      <c r="F2" s="110" t="s">
        <v>91</v>
      </c>
      <c r="G2" s="110"/>
      <c r="H2" s="110"/>
      <c r="I2" s="110"/>
      <c r="J2" s="110"/>
      <c r="K2" s="110"/>
      <c r="L2" s="110"/>
      <c r="M2" s="110"/>
    </row>
    <row r="3" spans="2:13" x14ac:dyDescent="0.25">
      <c r="F3" s="9"/>
    </row>
    <row r="4" spans="2:13" x14ac:dyDescent="0.25">
      <c r="B4" t="s">
        <v>70</v>
      </c>
      <c r="C4" t="s">
        <v>71</v>
      </c>
    </row>
    <row r="5" spans="2:13" x14ac:dyDescent="0.25">
      <c r="B5" t="s">
        <v>72</v>
      </c>
      <c r="C5" t="s">
        <v>73</v>
      </c>
      <c r="D5" t="s">
        <v>74</v>
      </c>
      <c r="F5">
        <v>1</v>
      </c>
      <c r="G5" t="s">
        <v>77</v>
      </c>
      <c r="H5" s="7" t="s">
        <v>78</v>
      </c>
      <c r="I5" s="7">
        <v>1</v>
      </c>
      <c r="J5" t="s">
        <v>79</v>
      </c>
      <c r="K5" s="7" t="s">
        <v>78</v>
      </c>
      <c r="L5" s="7">
        <v>1</v>
      </c>
      <c r="M5" t="s">
        <v>76</v>
      </c>
    </row>
    <row r="6" spans="2:13" x14ac:dyDescent="0.25">
      <c r="F6">
        <v>1</v>
      </c>
      <c r="G6" t="s">
        <v>80</v>
      </c>
      <c r="H6" s="7" t="s">
        <v>78</v>
      </c>
      <c r="I6" s="7">
        <v>1</v>
      </c>
      <c r="J6" t="s">
        <v>81</v>
      </c>
      <c r="K6" s="7" t="s">
        <v>78</v>
      </c>
      <c r="L6" s="7">
        <v>1</v>
      </c>
      <c r="M6" t="s">
        <v>75</v>
      </c>
    </row>
    <row r="8" spans="2:13" x14ac:dyDescent="0.25">
      <c r="B8" t="s">
        <v>82</v>
      </c>
      <c r="C8" t="s">
        <v>83</v>
      </c>
    </row>
    <row r="9" spans="2:13" x14ac:dyDescent="0.25">
      <c r="B9" t="s">
        <v>84</v>
      </c>
      <c r="C9" t="s">
        <v>56</v>
      </c>
      <c r="F9">
        <v>1</v>
      </c>
      <c r="G9" t="s">
        <v>56</v>
      </c>
      <c r="H9" s="7" t="s">
        <v>78</v>
      </c>
      <c r="I9" s="8">
        <v>1000</v>
      </c>
      <c r="J9" t="s">
        <v>88</v>
      </c>
      <c r="K9" s="7" t="s">
        <v>78</v>
      </c>
      <c r="L9" s="8">
        <v>1000000</v>
      </c>
      <c r="M9" t="s">
        <v>89</v>
      </c>
    </row>
    <row r="11" spans="2:13" x14ac:dyDescent="0.25">
      <c r="B11" t="s">
        <v>85</v>
      </c>
      <c r="C11" t="s">
        <v>86</v>
      </c>
    </row>
    <row r="12" spans="2:13" x14ac:dyDescent="0.25">
      <c r="B12" t="s">
        <v>87</v>
      </c>
      <c r="C12" t="s">
        <v>69</v>
      </c>
      <c r="F12">
        <v>1</v>
      </c>
      <c r="G12" t="s">
        <v>69</v>
      </c>
      <c r="H12" s="7" t="s">
        <v>78</v>
      </c>
      <c r="I12" s="8">
        <v>1000</v>
      </c>
      <c r="J12" t="s">
        <v>51</v>
      </c>
      <c r="K12" s="7" t="s">
        <v>78</v>
      </c>
      <c r="L12" s="8">
        <v>1000000</v>
      </c>
      <c r="M12" t="s">
        <v>90</v>
      </c>
    </row>
    <row r="14" spans="2:13" x14ac:dyDescent="0.25">
      <c r="B14" t="s">
        <v>93</v>
      </c>
      <c r="C14" t="s">
        <v>94</v>
      </c>
      <c r="F14">
        <v>1000</v>
      </c>
      <c r="G14" t="s">
        <v>94</v>
      </c>
      <c r="H14" s="7" t="s">
        <v>78</v>
      </c>
      <c r="I14">
        <v>1</v>
      </c>
      <c r="J14" t="s">
        <v>95</v>
      </c>
    </row>
    <row r="15" spans="2:13" x14ac:dyDescent="0.25">
      <c r="B15" t="s">
        <v>96</v>
      </c>
      <c r="C15" t="s">
        <v>55</v>
      </c>
      <c r="F15">
        <v>1</v>
      </c>
      <c r="G15" t="s">
        <v>97</v>
      </c>
      <c r="H15" s="7" t="s">
        <v>78</v>
      </c>
      <c r="I15">
        <v>1</v>
      </c>
      <c r="J15" t="s">
        <v>98</v>
      </c>
      <c r="K15" s="7" t="s">
        <v>78</v>
      </c>
      <c r="L15">
        <v>1</v>
      </c>
      <c r="M15" t="s">
        <v>99</v>
      </c>
    </row>
    <row r="17" spans="2:2" x14ac:dyDescent="0.25">
      <c r="B17" s="9" t="s">
        <v>100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defaultRowHeight="15" x14ac:dyDescent="0.25"/>
  <sheetData>
    <row r="2" spans="2:2" x14ac:dyDescent="0.25">
      <c r="B2" s="9" t="s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27" sqref="O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topLeftCell="A3" zoomScale="220" zoomScaleNormal="220" workbookViewId="0">
      <selection activeCell="I11" sqref="I11:I13"/>
    </sheetView>
  </sheetViews>
  <sheetFormatPr defaultRowHeight="15" x14ac:dyDescent="0.25"/>
  <cols>
    <col min="1" max="1" width="2.7109375" customWidth="1"/>
    <col min="2" max="2" width="3.28515625" customWidth="1"/>
    <col min="3" max="3" width="14.28515625" customWidth="1"/>
    <col min="4" max="4" width="14" customWidth="1"/>
    <col min="5" max="5" width="13.28515625" customWidth="1"/>
    <col min="6" max="6" width="20.28515625" customWidth="1"/>
    <col min="7" max="7" width="5.85546875" customWidth="1"/>
    <col min="8" max="8" width="9.85546875" customWidth="1"/>
    <col min="9" max="9" width="10.28515625" customWidth="1"/>
    <col min="10" max="10" width="9.42578125" customWidth="1"/>
    <col min="11" max="11" width="10.5703125" customWidth="1"/>
    <col min="12" max="12" width="3.28515625" customWidth="1"/>
  </cols>
  <sheetData>
    <row r="2" spans="2:12" ht="18" x14ac:dyDescent="0.25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5.75" thickBot="1" x14ac:dyDescent="0.3"/>
    <row r="4" spans="2:12" ht="18" customHeight="1" thickBot="1" x14ac:dyDescent="0.3">
      <c r="B4" s="28"/>
      <c r="C4" s="35"/>
      <c r="D4" s="35"/>
      <c r="E4" s="36"/>
      <c r="F4" s="36"/>
      <c r="G4" s="36"/>
      <c r="H4" s="36"/>
      <c r="I4" s="36"/>
      <c r="J4" s="36"/>
      <c r="K4" s="36"/>
      <c r="L4" s="33"/>
    </row>
    <row r="5" spans="2:12" ht="18.75" customHeight="1" thickBot="1" x14ac:dyDescent="0.3">
      <c r="B5" s="29"/>
      <c r="C5" s="54" t="s">
        <v>1</v>
      </c>
      <c r="D5" s="55"/>
      <c r="E5" s="55"/>
      <c r="F5" s="55"/>
      <c r="G5" s="55"/>
      <c r="H5" s="55"/>
      <c r="I5" s="55"/>
      <c r="J5" s="55"/>
      <c r="K5" s="56"/>
      <c r="L5" s="34"/>
    </row>
    <row r="6" spans="2:12" ht="15.75" thickBot="1" x14ac:dyDescent="0.3">
      <c r="B6" s="29"/>
      <c r="C6" s="57" t="s">
        <v>135</v>
      </c>
      <c r="D6" s="16" t="s">
        <v>21</v>
      </c>
      <c r="E6" s="17" t="s">
        <v>2</v>
      </c>
      <c r="F6" s="17" t="s">
        <v>3</v>
      </c>
      <c r="G6" s="17" t="s">
        <v>4</v>
      </c>
      <c r="H6" s="17" t="s">
        <v>5</v>
      </c>
      <c r="I6" s="17" t="s">
        <v>6</v>
      </c>
      <c r="J6" s="17" t="s">
        <v>7</v>
      </c>
      <c r="K6" s="58" t="s">
        <v>8</v>
      </c>
      <c r="L6" s="34"/>
    </row>
    <row r="7" spans="2:12" ht="39" thickBot="1" x14ac:dyDescent="0.3">
      <c r="B7" s="29"/>
      <c r="C7" s="59" t="s">
        <v>9</v>
      </c>
      <c r="D7" s="18" t="s">
        <v>30</v>
      </c>
      <c r="E7" s="19" t="s">
        <v>10</v>
      </c>
      <c r="F7" s="19" t="s">
        <v>11</v>
      </c>
      <c r="G7" s="19" t="s">
        <v>4</v>
      </c>
      <c r="H7" s="19" t="s">
        <v>12</v>
      </c>
      <c r="I7" s="19" t="s">
        <v>13</v>
      </c>
      <c r="J7" s="19" t="s">
        <v>14</v>
      </c>
      <c r="K7" s="60" t="s">
        <v>58</v>
      </c>
      <c r="L7" s="34"/>
    </row>
    <row r="8" spans="2:12" ht="18.75" customHeight="1" x14ac:dyDescent="0.25">
      <c r="B8" s="29"/>
      <c r="C8" s="47" t="s">
        <v>15</v>
      </c>
      <c r="D8" s="20"/>
      <c r="E8" s="21" t="s">
        <v>101</v>
      </c>
      <c r="F8" s="21" t="s">
        <v>57</v>
      </c>
      <c r="G8" s="21" t="s">
        <v>56</v>
      </c>
      <c r="I8" s="21" t="s">
        <v>186</v>
      </c>
      <c r="J8" s="21"/>
      <c r="K8" s="48"/>
      <c r="L8" s="34"/>
    </row>
    <row r="9" spans="2:12" ht="18.75" customHeight="1" x14ac:dyDescent="0.25">
      <c r="B9" s="29"/>
      <c r="C9" s="49" t="s">
        <v>15</v>
      </c>
      <c r="D9" s="22"/>
      <c r="E9" s="23" t="s">
        <v>16</v>
      </c>
      <c r="F9" s="23" t="s">
        <v>53</v>
      </c>
      <c r="G9" s="23" t="s">
        <v>56</v>
      </c>
      <c r="I9" s="23" t="s">
        <v>186</v>
      </c>
      <c r="J9" s="23"/>
      <c r="K9" s="50"/>
      <c r="L9" s="34"/>
    </row>
    <row r="10" spans="2:12" ht="18.75" customHeight="1" x14ac:dyDescent="0.25">
      <c r="B10" s="29"/>
      <c r="C10" s="49" t="s">
        <v>15</v>
      </c>
      <c r="D10" s="22"/>
      <c r="E10" s="23" t="s">
        <v>176</v>
      </c>
      <c r="F10" s="23" t="s">
        <v>177</v>
      </c>
      <c r="G10" s="23" t="s">
        <v>56</v>
      </c>
      <c r="I10" s="23" t="s">
        <v>186</v>
      </c>
      <c r="J10" s="23"/>
      <c r="K10" s="50"/>
      <c r="L10" s="34"/>
    </row>
    <row r="11" spans="2:12" ht="18.75" customHeight="1" thickBot="1" x14ac:dyDescent="0.3">
      <c r="B11" s="29"/>
      <c r="C11" s="61" t="s">
        <v>15</v>
      </c>
      <c r="D11" s="62"/>
      <c r="E11" s="63" t="s">
        <v>17</v>
      </c>
      <c r="F11" s="63" t="s">
        <v>54</v>
      </c>
      <c r="G11" s="63" t="s">
        <v>56</v>
      </c>
      <c r="I11" s="63" t="s">
        <v>187</v>
      </c>
      <c r="J11" s="63"/>
      <c r="K11" s="64" t="s">
        <v>18</v>
      </c>
      <c r="L11" s="34"/>
    </row>
    <row r="12" spans="2:12" ht="18.75" customHeight="1" thickBot="1" x14ac:dyDescent="0.3">
      <c r="B12" s="29"/>
      <c r="C12" s="13" t="s">
        <v>15</v>
      </c>
      <c r="D12" s="13"/>
      <c r="E12" s="13" t="s">
        <v>168</v>
      </c>
      <c r="F12" s="13" t="s">
        <v>170</v>
      </c>
      <c r="G12" s="13" t="s">
        <v>56</v>
      </c>
      <c r="I12" s="13" t="s">
        <v>187</v>
      </c>
      <c r="J12" s="13"/>
      <c r="K12" s="13"/>
      <c r="L12" s="34"/>
    </row>
    <row r="13" spans="2:12" ht="18.75" customHeight="1" thickBot="1" x14ac:dyDescent="0.3">
      <c r="B13" s="29"/>
      <c r="C13" s="13" t="s">
        <v>138</v>
      </c>
      <c r="D13" s="13"/>
      <c r="E13" s="13" t="s">
        <v>169</v>
      </c>
      <c r="F13" s="13" t="s">
        <v>171</v>
      </c>
      <c r="G13" s="13" t="s">
        <v>56</v>
      </c>
      <c r="I13" s="13" t="s">
        <v>187</v>
      </c>
      <c r="J13" s="13"/>
      <c r="K13" s="13"/>
      <c r="L13" s="34"/>
    </row>
    <row r="14" spans="2:12" ht="18" customHeight="1" thickBot="1" x14ac:dyDescent="0.3"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7" spans="3:5" ht="18.75" thickBot="1" x14ac:dyDescent="0.3">
      <c r="C17" s="111" t="s">
        <v>134</v>
      </c>
      <c r="D17" s="111"/>
      <c r="E17" s="111"/>
    </row>
    <row r="18" spans="3:5" x14ac:dyDescent="0.25">
      <c r="C18" s="101" t="s">
        <v>140</v>
      </c>
      <c r="D18" s="112" t="s">
        <v>141</v>
      </c>
      <c r="E18" s="113"/>
    </row>
    <row r="19" spans="3:5" x14ac:dyDescent="0.25">
      <c r="C19" s="98" t="s">
        <v>15</v>
      </c>
      <c r="D19" s="116" t="s">
        <v>139</v>
      </c>
      <c r="E19" s="116"/>
    </row>
    <row r="20" spans="3:5" x14ac:dyDescent="0.25">
      <c r="C20" s="99" t="s">
        <v>137</v>
      </c>
      <c r="D20" s="115" t="s">
        <v>142</v>
      </c>
      <c r="E20" s="115"/>
    </row>
    <row r="21" spans="3:5" x14ac:dyDescent="0.25">
      <c r="C21" s="98" t="s">
        <v>138</v>
      </c>
      <c r="D21" s="116" t="s">
        <v>143</v>
      </c>
      <c r="E21" s="116"/>
    </row>
    <row r="22" spans="3:5" x14ac:dyDescent="0.25">
      <c r="C22" s="99" t="s">
        <v>144</v>
      </c>
      <c r="D22" s="115" t="s">
        <v>146</v>
      </c>
      <c r="E22" s="115"/>
    </row>
    <row r="23" spans="3:5" ht="15.75" thickBot="1" x14ac:dyDescent="0.3">
      <c r="C23" s="100" t="s">
        <v>145</v>
      </c>
      <c r="D23" s="114" t="s">
        <v>147</v>
      </c>
      <c r="E23" s="114"/>
    </row>
  </sheetData>
  <mergeCells count="7">
    <mergeCell ref="C17:E17"/>
    <mergeCell ref="D18:E18"/>
    <mergeCell ref="D23:E23"/>
    <mergeCell ref="D22:E22"/>
    <mergeCell ref="D21:E21"/>
    <mergeCell ref="D20:E20"/>
    <mergeCell ref="D19:E1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33"/>
  <sheetViews>
    <sheetView tabSelected="1" topLeftCell="A6" zoomScale="160" zoomScaleNormal="160" workbookViewId="0">
      <selection activeCell="N12" sqref="N12"/>
    </sheetView>
  </sheetViews>
  <sheetFormatPr defaultRowHeight="15" x14ac:dyDescent="0.25"/>
  <cols>
    <col min="1" max="1" width="2.7109375" customWidth="1"/>
    <col min="2" max="2" width="3.28515625" customWidth="1"/>
    <col min="4" max="4" width="10" customWidth="1"/>
    <col min="5" max="5" width="16.28515625" bestFit="1" customWidth="1"/>
    <col min="6" max="6" width="22.7109375" bestFit="1" customWidth="1"/>
    <col min="10" max="10" width="10.85546875" customWidth="1"/>
    <col min="12" max="12" width="3.28515625" customWidth="1"/>
  </cols>
  <sheetData>
    <row r="2" spans="2:12" ht="18" x14ac:dyDescent="0.25">
      <c r="C2" s="1" t="s">
        <v>37</v>
      </c>
      <c r="D2" s="2"/>
      <c r="E2" s="2"/>
    </row>
    <row r="3" spans="2:12" ht="15.75" thickBot="1" x14ac:dyDescent="0.3"/>
    <row r="4" spans="2:12" ht="18" customHeight="1" thickBot="1" x14ac:dyDescent="0.3">
      <c r="B4" s="28"/>
      <c r="C4" s="37"/>
      <c r="D4" s="37"/>
      <c r="E4" s="37"/>
      <c r="F4" s="37"/>
      <c r="G4" s="37"/>
      <c r="H4" s="37"/>
      <c r="I4" s="37"/>
      <c r="J4" s="37"/>
      <c r="K4" s="37"/>
      <c r="L4" s="33"/>
    </row>
    <row r="5" spans="2:12" ht="18.75" customHeight="1" thickBot="1" x14ac:dyDescent="0.3">
      <c r="B5" s="29"/>
      <c r="C5" s="38" t="s">
        <v>19</v>
      </c>
      <c r="D5" s="39"/>
      <c r="E5" s="39"/>
      <c r="F5" s="39"/>
      <c r="G5" s="39"/>
      <c r="H5" s="39"/>
      <c r="I5" s="39"/>
      <c r="J5" s="39"/>
      <c r="K5" s="40"/>
      <c r="L5" s="34"/>
    </row>
    <row r="6" spans="2:12" ht="15.75" thickBot="1" x14ac:dyDescent="0.3">
      <c r="B6" s="29"/>
      <c r="C6" s="41" t="s">
        <v>20</v>
      </c>
      <c r="D6" s="24" t="s">
        <v>21</v>
      </c>
      <c r="E6" s="24" t="s">
        <v>22</v>
      </c>
      <c r="F6" s="24" t="s">
        <v>23</v>
      </c>
      <c r="G6" s="24" t="s">
        <v>24</v>
      </c>
      <c r="H6" s="24" t="s">
        <v>25</v>
      </c>
      <c r="I6" s="24" t="s">
        <v>26</v>
      </c>
      <c r="J6" s="24" t="s">
        <v>27</v>
      </c>
      <c r="K6" s="42" t="s">
        <v>28</v>
      </c>
      <c r="L6" s="34"/>
    </row>
    <row r="7" spans="2:12" ht="38.25" x14ac:dyDescent="0.25">
      <c r="B7" s="29"/>
      <c r="C7" s="43" t="s">
        <v>29</v>
      </c>
      <c r="D7" s="25" t="s">
        <v>30</v>
      </c>
      <c r="E7" s="25" t="s">
        <v>31</v>
      </c>
      <c r="F7" s="25" t="s">
        <v>32</v>
      </c>
      <c r="G7" s="25" t="s">
        <v>33</v>
      </c>
      <c r="H7" s="25" t="s">
        <v>34</v>
      </c>
      <c r="I7" s="25" t="s">
        <v>13</v>
      </c>
      <c r="J7" s="25" t="s">
        <v>35</v>
      </c>
      <c r="K7" s="44" t="s">
        <v>36</v>
      </c>
      <c r="L7" s="34"/>
    </row>
    <row r="8" spans="2:12" ht="18.75" customHeight="1" x14ac:dyDescent="0.25">
      <c r="B8" s="29"/>
      <c r="C8" s="45" t="s">
        <v>65</v>
      </c>
      <c r="D8" s="26"/>
      <c r="E8" s="26"/>
      <c r="F8" s="26"/>
      <c r="G8" s="26"/>
      <c r="H8" s="26"/>
      <c r="I8" s="26"/>
      <c r="J8" s="26"/>
      <c r="K8" s="46"/>
      <c r="L8" s="34"/>
    </row>
    <row r="9" spans="2:12" ht="18.75" customHeight="1" x14ac:dyDescent="0.25">
      <c r="B9" s="29"/>
      <c r="C9" s="47" t="s">
        <v>59</v>
      </c>
      <c r="D9" s="21"/>
      <c r="E9" s="21" t="s">
        <v>60</v>
      </c>
      <c r="F9" s="21" t="s">
        <v>61</v>
      </c>
      <c r="G9" s="21" t="s">
        <v>56</v>
      </c>
      <c r="H9" s="21" t="s">
        <v>62</v>
      </c>
      <c r="I9" s="21" t="s">
        <v>186</v>
      </c>
      <c r="J9" s="21"/>
      <c r="K9" s="48"/>
      <c r="L9" s="34"/>
    </row>
    <row r="10" spans="2:12" ht="18.75" customHeight="1" x14ac:dyDescent="0.25">
      <c r="B10" s="29"/>
      <c r="C10" s="49" t="s">
        <v>38</v>
      </c>
      <c r="D10" s="23"/>
      <c r="E10" s="23" t="s">
        <v>40</v>
      </c>
      <c r="F10" s="23" t="s">
        <v>52</v>
      </c>
      <c r="G10" s="23" t="s">
        <v>56</v>
      </c>
      <c r="H10" s="23" t="s">
        <v>62</v>
      </c>
      <c r="I10" s="23" t="s">
        <v>186</v>
      </c>
      <c r="J10" s="23"/>
      <c r="K10" s="50"/>
      <c r="L10" s="34"/>
    </row>
    <row r="11" spans="2:12" ht="18.75" customHeight="1" x14ac:dyDescent="0.25">
      <c r="B11" s="29"/>
      <c r="C11" s="49" t="s">
        <v>38</v>
      </c>
      <c r="D11" s="23"/>
      <c r="E11" s="23" t="s">
        <v>174</v>
      </c>
      <c r="F11" s="23" t="s">
        <v>175</v>
      </c>
      <c r="G11" s="23" t="s">
        <v>56</v>
      </c>
      <c r="H11" s="23" t="s">
        <v>62</v>
      </c>
      <c r="I11" s="23" t="s">
        <v>186</v>
      </c>
      <c r="J11" s="23"/>
      <c r="K11" s="50"/>
      <c r="L11" s="34"/>
    </row>
    <row r="12" spans="2:12" ht="18.75" customHeight="1" x14ac:dyDescent="0.25">
      <c r="B12" s="29"/>
      <c r="C12" s="45" t="s">
        <v>66</v>
      </c>
      <c r="D12" s="26"/>
      <c r="E12" s="26"/>
      <c r="F12" s="26"/>
      <c r="G12" s="26"/>
      <c r="H12" s="26"/>
      <c r="I12" s="26"/>
      <c r="J12" s="26"/>
      <c r="K12" s="46"/>
      <c r="L12" s="34"/>
    </row>
    <row r="13" spans="2:12" ht="18.75" customHeight="1" x14ac:dyDescent="0.25">
      <c r="B13" s="29"/>
      <c r="C13" s="47" t="s">
        <v>39</v>
      </c>
      <c r="D13" s="21"/>
      <c r="E13" s="21" t="s">
        <v>63</v>
      </c>
      <c r="F13" s="21" t="s">
        <v>67</v>
      </c>
      <c r="G13" s="21" t="s">
        <v>56</v>
      </c>
      <c r="H13" s="21" t="s">
        <v>69</v>
      </c>
      <c r="I13" s="21" t="s">
        <v>187</v>
      </c>
      <c r="J13" s="21"/>
      <c r="K13" s="48"/>
      <c r="L13" s="34"/>
    </row>
    <row r="14" spans="2:12" ht="18.75" customHeight="1" thickBot="1" x14ac:dyDescent="0.3">
      <c r="B14" s="29"/>
      <c r="C14" s="51" t="s">
        <v>39</v>
      </c>
      <c r="D14" s="52"/>
      <c r="E14" s="52" t="s">
        <v>64</v>
      </c>
      <c r="F14" s="52" t="s">
        <v>68</v>
      </c>
      <c r="G14" s="52" t="s">
        <v>56</v>
      </c>
      <c r="H14" s="52" t="s">
        <v>69</v>
      </c>
      <c r="I14" s="52" t="s">
        <v>187</v>
      </c>
      <c r="J14" s="52"/>
      <c r="K14" s="53"/>
      <c r="L14" s="34"/>
    </row>
    <row r="15" spans="2:12" ht="18.75" customHeight="1" thickBot="1" x14ac:dyDescent="0.3">
      <c r="B15" s="29"/>
      <c r="C15" s="74" t="s">
        <v>39</v>
      </c>
      <c r="D15" s="74"/>
      <c r="E15" s="74" t="s">
        <v>172</v>
      </c>
      <c r="F15" s="74" t="s">
        <v>173</v>
      </c>
      <c r="G15" s="74" t="s">
        <v>56</v>
      </c>
      <c r="H15" s="74" t="s">
        <v>69</v>
      </c>
      <c r="I15" s="74" t="s">
        <v>187</v>
      </c>
      <c r="J15" s="74"/>
      <c r="K15" s="74"/>
      <c r="L15" s="34"/>
    </row>
    <row r="16" spans="2:12" ht="18.75" customHeight="1" thickBot="1" x14ac:dyDescent="0.3">
      <c r="B16" s="29"/>
      <c r="C16" s="74" t="s">
        <v>178</v>
      </c>
      <c r="D16" s="74"/>
      <c r="E16" s="74"/>
      <c r="F16" s="74"/>
      <c r="G16" s="74"/>
      <c r="H16" s="74"/>
      <c r="I16" s="74"/>
      <c r="J16" s="74"/>
      <c r="K16" s="74"/>
      <c r="L16" s="34"/>
    </row>
    <row r="17" spans="2:12" ht="18.75" customHeight="1" thickBot="1" x14ac:dyDescent="0.3">
      <c r="B17" s="29"/>
      <c r="C17" s="74" t="s">
        <v>183</v>
      </c>
      <c r="D17" s="74"/>
      <c r="E17" s="74" t="s">
        <v>184</v>
      </c>
      <c r="F17" s="74" t="s">
        <v>185</v>
      </c>
      <c r="G17" s="74" t="s">
        <v>56</v>
      </c>
      <c r="H17" s="74" t="s">
        <v>69</v>
      </c>
      <c r="I17" s="74" t="s">
        <v>187</v>
      </c>
      <c r="J17" s="74"/>
      <c r="K17" s="74"/>
      <c r="L17" s="34"/>
    </row>
    <row r="18" spans="2:12" ht="18.75" customHeight="1" thickBot="1" x14ac:dyDescent="0.3">
      <c r="B18" s="29"/>
      <c r="C18" s="74" t="s">
        <v>178</v>
      </c>
      <c r="D18" s="74" t="s">
        <v>179</v>
      </c>
      <c r="E18" s="74"/>
      <c r="F18" s="74"/>
      <c r="G18" s="74"/>
      <c r="H18" s="74"/>
      <c r="I18" s="74"/>
      <c r="J18" s="74"/>
      <c r="K18" s="74"/>
      <c r="L18" s="34"/>
    </row>
    <row r="19" spans="2:12" ht="18.75" customHeight="1" thickBot="1" x14ac:dyDescent="0.3">
      <c r="B19" s="29"/>
      <c r="C19" s="74" t="s">
        <v>180</v>
      </c>
      <c r="D19" s="74"/>
      <c r="E19" s="74" t="s">
        <v>181</v>
      </c>
      <c r="F19" s="74" t="s">
        <v>182</v>
      </c>
      <c r="G19" s="74" t="s">
        <v>56</v>
      </c>
      <c r="H19" s="74" t="s">
        <v>62</v>
      </c>
      <c r="I19" s="74" t="s">
        <v>187</v>
      </c>
      <c r="J19" s="74"/>
      <c r="K19" s="74"/>
      <c r="L19" s="34"/>
    </row>
    <row r="20" spans="2:12" ht="18" customHeight="1" thickBo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3" spans="2:12" ht="18.75" thickBot="1" x14ac:dyDescent="0.3">
      <c r="C23" s="111" t="s">
        <v>166</v>
      </c>
      <c r="D23" s="111"/>
      <c r="E23" s="111"/>
    </row>
    <row r="24" spans="2:12" ht="14.45" customHeight="1" x14ac:dyDescent="0.25">
      <c r="C24" s="24" t="s">
        <v>167</v>
      </c>
      <c r="D24" s="118" t="s">
        <v>141</v>
      </c>
      <c r="E24" s="119"/>
    </row>
    <row r="25" spans="2:12" x14ac:dyDescent="0.25">
      <c r="C25" s="102" t="s">
        <v>148</v>
      </c>
      <c r="D25" s="122" t="s">
        <v>164</v>
      </c>
      <c r="E25" s="122"/>
    </row>
    <row r="26" spans="2:12" x14ac:dyDescent="0.25">
      <c r="C26" s="99" t="s">
        <v>154</v>
      </c>
      <c r="D26" s="120" t="s">
        <v>162</v>
      </c>
      <c r="E26" s="120"/>
    </row>
    <row r="27" spans="2:12" x14ac:dyDescent="0.25">
      <c r="C27" s="98" t="s">
        <v>152</v>
      </c>
      <c r="D27" s="121" t="s">
        <v>160</v>
      </c>
      <c r="E27" s="121"/>
    </row>
    <row r="28" spans="2:12" x14ac:dyDescent="0.25">
      <c r="C28" s="99" t="s">
        <v>151</v>
      </c>
      <c r="D28" s="120" t="s">
        <v>159</v>
      </c>
      <c r="E28" s="120"/>
    </row>
    <row r="29" spans="2:12" x14ac:dyDescent="0.25">
      <c r="C29" s="98" t="s">
        <v>150</v>
      </c>
      <c r="D29" s="121" t="s">
        <v>158</v>
      </c>
      <c r="E29" s="121"/>
    </row>
    <row r="30" spans="2:12" x14ac:dyDescent="0.25">
      <c r="C30" s="99" t="s">
        <v>157</v>
      </c>
      <c r="D30" s="120" t="s">
        <v>165</v>
      </c>
      <c r="E30" s="120"/>
    </row>
    <row r="31" spans="2:12" x14ac:dyDescent="0.25">
      <c r="C31" s="98" t="s">
        <v>153</v>
      </c>
      <c r="D31" s="121" t="s">
        <v>161</v>
      </c>
      <c r="E31" s="121"/>
    </row>
    <row r="32" spans="2:12" x14ac:dyDescent="0.25">
      <c r="C32" s="99" t="s">
        <v>149</v>
      </c>
      <c r="D32" s="120" t="s">
        <v>156</v>
      </c>
      <c r="E32" s="120"/>
    </row>
    <row r="33" spans="3:5" ht="15.75" thickBot="1" x14ac:dyDescent="0.3">
      <c r="C33" s="100" t="s">
        <v>155</v>
      </c>
      <c r="D33" s="117" t="s">
        <v>163</v>
      </c>
      <c r="E33" s="117"/>
    </row>
  </sheetData>
  <mergeCells count="11">
    <mergeCell ref="D33:E33"/>
    <mergeCell ref="C23:E23"/>
    <mergeCell ref="D24:E24"/>
    <mergeCell ref="D32:E32"/>
    <mergeCell ref="D31:E31"/>
    <mergeCell ref="D30:E30"/>
    <mergeCell ref="D29:E29"/>
    <mergeCell ref="D28:E28"/>
    <mergeCell ref="D27:E27"/>
    <mergeCell ref="D26:E26"/>
    <mergeCell ref="D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2"/>
  <sheetViews>
    <sheetView zoomScale="190" zoomScaleNormal="190" workbookViewId="0">
      <selection activeCell="E11" sqref="E11"/>
    </sheetView>
  </sheetViews>
  <sheetFormatPr defaultRowHeight="15" x14ac:dyDescent="0.25"/>
  <cols>
    <col min="1" max="1" width="2.7109375" customWidth="1"/>
    <col min="2" max="2" width="3.28515625" customWidth="1"/>
    <col min="3" max="3" width="18.7109375" customWidth="1"/>
    <col min="4" max="4" width="20.42578125" customWidth="1"/>
    <col min="5" max="5" width="12.42578125" customWidth="1"/>
    <col min="6" max="6" width="14.28515625" customWidth="1"/>
    <col min="7" max="7" width="10.5703125" customWidth="1"/>
    <col min="8" max="8" width="3.28515625" customWidth="1"/>
  </cols>
  <sheetData>
    <row r="2" spans="2:8" ht="15.75" x14ac:dyDescent="0.25">
      <c r="C2" s="4" t="s">
        <v>45</v>
      </c>
      <c r="D2" s="5"/>
      <c r="E2" s="6"/>
    </row>
    <row r="3" spans="2:8" ht="15.75" thickBot="1" x14ac:dyDescent="0.3"/>
    <row r="4" spans="2:8" ht="18" customHeight="1" thickBot="1" x14ac:dyDescent="0.3">
      <c r="B4" s="28"/>
      <c r="C4" s="75"/>
      <c r="D4" s="76"/>
      <c r="E4" s="77"/>
      <c r="F4" s="37"/>
      <c r="G4" s="37"/>
      <c r="H4" s="33"/>
    </row>
    <row r="5" spans="2:8" ht="18.75" customHeight="1" thickBot="1" x14ac:dyDescent="0.3">
      <c r="B5" s="29"/>
      <c r="C5" s="54"/>
      <c r="D5" s="55"/>
      <c r="E5" s="65" t="s">
        <v>41</v>
      </c>
      <c r="F5" s="55"/>
      <c r="G5" s="56"/>
      <c r="H5" s="34"/>
    </row>
    <row r="6" spans="2:8" ht="15.75" thickBot="1" x14ac:dyDescent="0.3">
      <c r="B6" s="29"/>
      <c r="C6" s="66" t="s">
        <v>22</v>
      </c>
      <c r="D6" s="12" t="s">
        <v>136</v>
      </c>
      <c r="E6" s="12" t="s">
        <v>42</v>
      </c>
      <c r="F6" s="12" t="s">
        <v>46</v>
      </c>
      <c r="G6" s="67" t="s">
        <v>47</v>
      </c>
      <c r="H6" s="34"/>
    </row>
    <row r="7" spans="2:8" ht="38.25" x14ac:dyDescent="0.25">
      <c r="B7" s="29"/>
      <c r="C7" s="68" t="s">
        <v>43</v>
      </c>
      <c r="D7" s="14" t="s">
        <v>32</v>
      </c>
      <c r="E7" s="14" t="s">
        <v>44</v>
      </c>
      <c r="F7" s="14" t="s">
        <v>48</v>
      </c>
      <c r="G7" s="69" t="s">
        <v>49</v>
      </c>
      <c r="H7" s="34"/>
    </row>
    <row r="8" spans="2:8" ht="18.75" customHeight="1" x14ac:dyDescent="0.25">
      <c r="B8" s="29"/>
      <c r="C8" s="70" t="s">
        <v>50</v>
      </c>
      <c r="D8" s="27"/>
      <c r="E8" s="27"/>
      <c r="F8" s="27" t="s">
        <v>62</v>
      </c>
      <c r="G8" s="71" t="s">
        <v>76</v>
      </c>
      <c r="H8" s="34"/>
    </row>
    <row r="9" spans="2:8" ht="18.75" customHeight="1" x14ac:dyDescent="0.25">
      <c r="B9" s="29"/>
      <c r="C9" s="72" t="str">
        <f>FI_Process!E9</f>
        <v>IMP_OIL</v>
      </c>
      <c r="D9" s="11" t="str">
        <f>FI_Process!F9</f>
        <v>Import of Fuel Oil</v>
      </c>
      <c r="E9" s="11" t="str">
        <f>FI_Comm!E8</f>
        <v>FUEL_OIL</v>
      </c>
      <c r="F9" s="11"/>
      <c r="G9" s="73">
        <v>30</v>
      </c>
      <c r="H9" s="34"/>
    </row>
    <row r="10" spans="2:8" ht="18.75" customHeight="1" x14ac:dyDescent="0.25">
      <c r="B10" s="29"/>
      <c r="C10" s="103" t="str">
        <f>FI_Process!E10</f>
        <v>MIN_NAT_GAS</v>
      </c>
      <c r="D10" s="104" t="str">
        <f>FI_Process!F10</f>
        <v>Supply Natural Gas</v>
      </c>
      <c r="E10" s="104" t="str">
        <f>FI_Comm!E9</f>
        <v>NAT_GAS</v>
      </c>
      <c r="F10" s="104"/>
      <c r="G10" s="105">
        <v>20</v>
      </c>
      <c r="H10" s="34"/>
    </row>
    <row r="11" spans="2:8" ht="18.75" customHeight="1" thickBot="1" x14ac:dyDescent="0.3">
      <c r="B11" s="29"/>
      <c r="C11" s="106" t="str">
        <f>FI_Process!E11</f>
        <v>MIN_WIND_ON</v>
      </c>
      <c r="D11" s="107" t="str">
        <f>FI_Process!F11</f>
        <v>Supply Wind Onshore</v>
      </c>
      <c r="E11" s="107" t="str">
        <f>FI_Comm!E10</f>
        <v>WIND_ON</v>
      </c>
      <c r="F11" s="107"/>
      <c r="G11" s="108">
        <v>1E-3</v>
      </c>
      <c r="H11" s="34"/>
    </row>
    <row r="12" spans="2:8" ht="18" customHeight="1" thickBot="1" x14ac:dyDescent="0.3">
      <c r="B12" s="30"/>
      <c r="C12" s="31"/>
      <c r="D12" s="31"/>
      <c r="E12" s="31"/>
      <c r="F12" s="31"/>
      <c r="G12" s="31"/>
      <c r="H12" s="32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3"/>
  <sheetViews>
    <sheetView topLeftCell="A4" zoomScale="145" zoomScaleNormal="145" workbookViewId="0">
      <selection activeCell="K11" sqref="K11"/>
    </sheetView>
  </sheetViews>
  <sheetFormatPr defaultRowHeight="15" x14ac:dyDescent="0.25"/>
  <cols>
    <col min="1" max="1" width="2.7109375" customWidth="1"/>
    <col min="2" max="2" width="3.28515625" customWidth="1"/>
    <col min="3" max="3" width="17.7109375" customWidth="1"/>
    <col min="4" max="4" width="15.5703125" customWidth="1"/>
    <col min="5" max="5" width="10.140625" bestFit="1" customWidth="1"/>
    <col min="6" max="6" width="11.140625" bestFit="1" customWidth="1"/>
    <col min="7" max="7" width="8.28515625" bestFit="1" customWidth="1"/>
    <col min="8" max="8" width="16.7109375" bestFit="1" customWidth="1"/>
    <col min="9" max="9" width="9.28515625" customWidth="1"/>
    <col min="10" max="10" width="12.42578125" customWidth="1"/>
    <col min="11" max="11" width="7.7109375" bestFit="1" customWidth="1"/>
    <col min="12" max="12" width="8" bestFit="1" customWidth="1"/>
    <col min="13" max="13" width="3.28515625" customWidth="1"/>
    <col min="15" max="16" width="17.28515625" customWidth="1"/>
    <col min="17" max="17" width="11.140625" customWidth="1"/>
  </cols>
  <sheetData>
    <row r="2" spans="2:16" ht="15.75" x14ac:dyDescent="0.25">
      <c r="C2" s="4" t="s">
        <v>116</v>
      </c>
      <c r="D2" s="5"/>
      <c r="E2" s="5"/>
      <c r="F2" s="6"/>
    </row>
    <row r="3" spans="2:16" ht="15.75" thickBot="1" x14ac:dyDescent="0.3">
      <c r="F3" s="6"/>
    </row>
    <row r="4" spans="2:16" ht="15.75" thickBot="1" x14ac:dyDescent="0.3">
      <c r="B4" s="28"/>
      <c r="C4" s="75"/>
      <c r="D4" s="76"/>
      <c r="E4" s="76"/>
      <c r="F4" s="77"/>
      <c r="G4" s="37"/>
      <c r="H4" s="37"/>
      <c r="I4" s="37"/>
      <c r="J4" s="37"/>
      <c r="K4" s="37"/>
      <c r="L4" s="37"/>
      <c r="M4" s="33"/>
    </row>
    <row r="5" spans="2:16" ht="18.75" customHeight="1" thickBot="1" x14ac:dyDescent="0.3">
      <c r="B5" s="29"/>
      <c r="C5" s="54"/>
      <c r="D5" s="55"/>
      <c r="E5" s="55"/>
      <c r="F5" s="65" t="s">
        <v>41</v>
      </c>
      <c r="G5" s="55"/>
      <c r="H5" s="55"/>
      <c r="I5" s="55"/>
      <c r="J5" s="55"/>
      <c r="K5" s="55"/>
      <c r="L5" s="56"/>
      <c r="M5" s="34"/>
    </row>
    <row r="6" spans="2:16" ht="26.25" thickBot="1" x14ac:dyDescent="0.3">
      <c r="B6" s="29"/>
      <c r="C6" s="66" t="s">
        <v>22</v>
      </c>
      <c r="D6" s="12" t="s">
        <v>136</v>
      </c>
      <c r="E6" s="12" t="s">
        <v>102</v>
      </c>
      <c r="F6" s="12" t="s">
        <v>42</v>
      </c>
      <c r="G6" s="12" t="s">
        <v>105</v>
      </c>
      <c r="H6" s="12" t="s">
        <v>106</v>
      </c>
      <c r="I6" s="12" t="s">
        <v>104</v>
      </c>
      <c r="J6" s="12" t="s">
        <v>107</v>
      </c>
      <c r="K6" s="12" t="s">
        <v>108</v>
      </c>
      <c r="L6" s="67" t="s">
        <v>109</v>
      </c>
      <c r="M6" s="34"/>
      <c r="O6" s="9" t="s">
        <v>128</v>
      </c>
    </row>
    <row r="7" spans="2:16" ht="38.25" x14ac:dyDescent="0.25">
      <c r="B7" s="29"/>
      <c r="C7" s="68" t="s">
        <v>43</v>
      </c>
      <c r="D7" s="14" t="s">
        <v>32</v>
      </c>
      <c r="E7" s="14" t="s">
        <v>103</v>
      </c>
      <c r="F7" s="14" t="s">
        <v>44</v>
      </c>
      <c r="G7" s="14" t="s">
        <v>110</v>
      </c>
      <c r="H7" s="14" t="s">
        <v>111</v>
      </c>
      <c r="I7" s="14" t="s">
        <v>112</v>
      </c>
      <c r="J7" s="14" t="s">
        <v>113</v>
      </c>
      <c r="K7" s="14" t="s">
        <v>114</v>
      </c>
      <c r="L7" s="69" t="s">
        <v>115</v>
      </c>
      <c r="M7" s="34"/>
      <c r="O7" s="10" t="s">
        <v>129</v>
      </c>
      <c r="P7" s="10" t="s">
        <v>132</v>
      </c>
    </row>
    <row r="8" spans="2:16" ht="18.75" customHeight="1" x14ac:dyDescent="0.25">
      <c r="B8" s="29"/>
      <c r="C8" s="78" t="s">
        <v>50</v>
      </c>
      <c r="D8" s="15"/>
      <c r="E8" s="15"/>
      <c r="F8" s="15"/>
      <c r="G8" s="15" t="s">
        <v>69</v>
      </c>
      <c r="H8" s="15" t="s">
        <v>131</v>
      </c>
      <c r="I8" s="15" t="s">
        <v>122</v>
      </c>
      <c r="J8" s="15" t="s">
        <v>122</v>
      </c>
      <c r="K8" s="15" t="s">
        <v>76</v>
      </c>
      <c r="L8" s="79" t="s">
        <v>75</v>
      </c>
      <c r="M8" s="34"/>
      <c r="O8" s="84" t="s">
        <v>130</v>
      </c>
      <c r="P8" s="84" t="s">
        <v>130</v>
      </c>
    </row>
    <row r="9" spans="2:16" ht="18.75" customHeight="1" x14ac:dyDescent="0.25">
      <c r="B9" s="29"/>
      <c r="C9" s="72" t="str">
        <f>FI_Process!E13</f>
        <v>EX_PP_OIL</v>
      </c>
      <c r="D9" s="11" t="str">
        <f>FI_Process!F13</f>
        <v>Power Plant - Fuel Oil</v>
      </c>
      <c r="E9" s="11" t="str">
        <f>FI_Comm!E8</f>
        <v>FUEL_OIL</v>
      </c>
      <c r="F9" s="11" t="str">
        <f>FI_Comm!E11</f>
        <v>ELC_HV</v>
      </c>
      <c r="G9" s="11">
        <v>4</v>
      </c>
      <c r="H9" s="11">
        <v>31.536000000000001</v>
      </c>
      <c r="I9" s="11">
        <v>0.4</v>
      </c>
      <c r="J9" s="11">
        <v>0.8</v>
      </c>
      <c r="K9" s="11">
        <v>1</v>
      </c>
      <c r="L9" s="73">
        <v>1</v>
      </c>
      <c r="M9" s="34"/>
      <c r="O9" s="83">
        <f>G9*H9*J9</f>
        <v>100.91520000000001</v>
      </c>
      <c r="P9" s="83">
        <f>O9/I9</f>
        <v>252.28800000000001</v>
      </c>
    </row>
    <row r="10" spans="2:16" ht="18.75" customHeight="1" x14ac:dyDescent="0.25">
      <c r="B10" s="29"/>
      <c r="C10" s="103" t="str">
        <f>FI_Process!E14</f>
        <v>EX_PP_NAT_GAS</v>
      </c>
      <c r="D10" s="104" t="str">
        <f>FI_Process!F14</f>
        <v>Power Plant - Natural Gas</v>
      </c>
      <c r="E10" s="104" t="str">
        <f>FI_Comm!E9</f>
        <v>NAT_GAS</v>
      </c>
      <c r="F10" s="104" t="str">
        <f>FI_Comm!E11</f>
        <v>ELC_HV</v>
      </c>
      <c r="G10" s="104">
        <v>2</v>
      </c>
      <c r="H10" s="104">
        <v>31.536000000000001</v>
      </c>
      <c r="I10" s="104">
        <v>0.6</v>
      </c>
      <c r="J10" s="104">
        <v>0.5</v>
      </c>
      <c r="K10" s="104">
        <v>1</v>
      </c>
      <c r="L10" s="105">
        <v>1</v>
      </c>
      <c r="M10" s="34"/>
      <c r="O10" s="96">
        <f>G10*H10*J10</f>
        <v>31.536000000000001</v>
      </c>
      <c r="P10" s="96">
        <f>O10/I10</f>
        <v>52.56</v>
      </c>
    </row>
    <row r="11" spans="2:16" ht="18.75" customHeight="1" thickBot="1" x14ac:dyDescent="0.3">
      <c r="B11" s="29"/>
      <c r="C11" s="106" t="str">
        <f>FI_Process!E15</f>
        <v>EX_PP_WIND</v>
      </c>
      <c r="D11" s="107" t="str">
        <f>FI_Process!F15</f>
        <v>Power Plant - Wind Tuebine</v>
      </c>
      <c r="E11" s="107" t="str">
        <f>FI_Comm!E10</f>
        <v>WIND_ON</v>
      </c>
      <c r="F11" s="107" t="str">
        <f>FI_Comm!E11</f>
        <v>ELC_HV</v>
      </c>
      <c r="G11" s="107">
        <v>1</v>
      </c>
      <c r="H11" s="107">
        <v>31.536000000000001</v>
      </c>
      <c r="I11" s="107">
        <v>1</v>
      </c>
      <c r="J11" s="107">
        <v>0.33</v>
      </c>
      <c r="K11" s="107"/>
      <c r="L11" s="108">
        <v>1</v>
      </c>
      <c r="M11" s="34"/>
      <c r="O11" s="83"/>
      <c r="P11" s="83"/>
    </row>
    <row r="12" spans="2:16" ht="15.75" thickBot="1" x14ac:dyDescent="0.3"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  <c r="O12" s="97">
        <f>SUM(O9:O10)</f>
        <v>132.45120000000003</v>
      </c>
    </row>
    <row r="17" spans="3:3" x14ac:dyDescent="0.25">
      <c r="C17" s="9" t="s">
        <v>127</v>
      </c>
    </row>
    <row r="18" spans="3:3" x14ac:dyDescent="0.25">
      <c r="C18" t="s">
        <v>124</v>
      </c>
    </row>
    <row r="19" spans="3:3" ht="42" customHeight="1" x14ac:dyDescent="0.25"/>
    <row r="20" spans="3:3" x14ac:dyDescent="0.25">
      <c r="C20" t="s">
        <v>125</v>
      </c>
    </row>
    <row r="21" spans="3:3" x14ac:dyDescent="0.25">
      <c r="C21" t="s">
        <v>123</v>
      </c>
    </row>
    <row r="22" spans="3:3" x14ac:dyDescent="0.25">
      <c r="C22" t="s">
        <v>126</v>
      </c>
    </row>
    <row r="23" spans="3:3" ht="42" customHeight="1" x14ac:dyDescent="0.25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C56-8571-476E-80B4-2A2AA175E0B0}">
  <dimension ref="B1:K6"/>
  <sheetViews>
    <sheetView workbookViewId="0">
      <selection activeCell="H6" sqref="H6"/>
    </sheetView>
  </sheetViews>
  <sheetFormatPr defaultRowHeight="15" x14ac:dyDescent="0.25"/>
  <cols>
    <col min="2" max="2" width="17.7109375" customWidth="1"/>
    <col min="3" max="3" width="15" customWidth="1"/>
    <col min="4" max="4" width="18.140625" customWidth="1"/>
    <col min="7" max="7" width="13.140625" customWidth="1"/>
  </cols>
  <sheetData>
    <row r="1" spans="2:11" ht="15.75" thickBot="1" x14ac:dyDescent="0.3"/>
    <row r="2" spans="2:11" ht="16.5" thickBot="1" x14ac:dyDescent="0.3">
      <c r="B2" s="54"/>
      <c r="C2" s="55"/>
      <c r="D2" s="55"/>
      <c r="E2" s="65" t="s">
        <v>41</v>
      </c>
      <c r="F2" s="55"/>
      <c r="G2" s="55"/>
      <c r="H2" s="55"/>
      <c r="I2" s="55"/>
      <c r="J2" s="55"/>
      <c r="K2" s="56"/>
    </row>
    <row r="3" spans="2:11" ht="26.25" thickBot="1" x14ac:dyDescent="0.3">
      <c r="B3" s="66" t="s">
        <v>22</v>
      </c>
      <c r="C3" s="12" t="s">
        <v>136</v>
      </c>
      <c r="D3" s="12" t="s">
        <v>102</v>
      </c>
      <c r="E3" s="12" t="s">
        <v>42</v>
      </c>
      <c r="F3" s="12" t="s">
        <v>105</v>
      </c>
      <c r="G3" s="12" t="s">
        <v>106</v>
      </c>
      <c r="H3" s="12" t="s">
        <v>104</v>
      </c>
      <c r="I3" s="12" t="s">
        <v>107</v>
      </c>
      <c r="J3" s="12" t="s">
        <v>108</v>
      </c>
      <c r="K3" s="67" t="s">
        <v>109</v>
      </c>
    </row>
    <row r="4" spans="2:11" ht="38.25" x14ac:dyDescent="0.25">
      <c r="B4" s="68" t="s">
        <v>43</v>
      </c>
      <c r="C4" s="14" t="s">
        <v>32</v>
      </c>
      <c r="D4" s="14" t="s">
        <v>103</v>
      </c>
      <c r="E4" s="14" t="s">
        <v>44</v>
      </c>
      <c r="F4" s="14" t="s">
        <v>110</v>
      </c>
      <c r="G4" s="14" t="s">
        <v>111</v>
      </c>
      <c r="H4" s="14" t="s">
        <v>112</v>
      </c>
      <c r="I4" s="14" t="s">
        <v>113</v>
      </c>
      <c r="J4" s="14" t="s">
        <v>114</v>
      </c>
      <c r="K4" s="69" t="s">
        <v>115</v>
      </c>
    </row>
    <row r="5" spans="2:11" x14ac:dyDescent="0.25">
      <c r="B5" s="78" t="s">
        <v>50</v>
      </c>
      <c r="C5" s="15"/>
      <c r="D5" s="15"/>
      <c r="E5" s="15"/>
      <c r="F5" s="15" t="s">
        <v>69</v>
      </c>
      <c r="G5" s="15" t="s">
        <v>131</v>
      </c>
      <c r="H5" s="15" t="s">
        <v>122</v>
      </c>
      <c r="I5" s="15" t="s">
        <v>122</v>
      </c>
      <c r="J5" s="15" t="s">
        <v>76</v>
      </c>
      <c r="K5" s="79" t="s">
        <v>75</v>
      </c>
    </row>
    <row r="6" spans="2:11" x14ac:dyDescent="0.25">
      <c r="B6" t="str">
        <f>FI_Process!E17</f>
        <v>EX_ELC_GRID</v>
      </c>
      <c r="C6" t="str">
        <f>FI_Process!F17</f>
        <v>Existing Grid</v>
      </c>
      <c r="D6" t="str">
        <f>FI_Comm!E11</f>
        <v>ELC_HV</v>
      </c>
      <c r="E6" t="str">
        <f>FI_Comm!E12</f>
        <v>ELC_LV</v>
      </c>
      <c r="G6">
        <v>1</v>
      </c>
      <c r="H6">
        <v>0.88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L17"/>
  <sheetViews>
    <sheetView topLeftCell="A3" zoomScale="145" zoomScaleNormal="145" workbookViewId="0">
      <selection activeCell="I7" sqref="I7"/>
    </sheetView>
  </sheetViews>
  <sheetFormatPr defaultRowHeight="15" x14ac:dyDescent="0.25"/>
  <cols>
    <col min="1" max="1" width="2.7109375" customWidth="1"/>
    <col min="2" max="2" width="3.28515625" customWidth="1"/>
    <col min="3" max="3" width="16.85546875" customWidth="1"/>
    <col min="4" max="4" width="22.7109375" bestFit="1" customWidth="1"/>
    <col min="5" max="5" width="10.42578125" customWidth="1"/>
    <col min="6" max="6" width="18.7109375" customWidth="1"/>
    <col min="7" max="7" width="13.85546875" customWidth="1"/>
    <col min="8" max="8" width="10.85546875" bestFit="1" customWidth="1"/>
    <col min="9" max="9" width="9" bestFit="1" customWidth="1"/>
    <col min="10" max="10" width="8.7109375" bestFit="1" customWidth="1"/>
    <col min="11" max="11" width="7.85546875" bestFit="1" customWidth="1"/>
    <col min="12" max="12" width="8.28515625" bestFit="1" customWidth="1"/>
  </cols>
  <sheetData>
    <row r="1" spans="2:12" ht="15" customHeight="1" x14ac:dyDescent="0.25"/>
    <row r="2" spans="2:12" ht="15.75" x14ac:dyDescent="0.25">
      <c r="C2" s="4" t="s">
        <v>117</v>
      </c>
      <c r="D2" s="5"/>
      <c r="E2" s="6"/>
    </row>
    <row r="3" spans="2:12" ht="15.75" thickBot="1" x14ac:dyDescent="0.3"/>
    <row r="4" spans="2:12" ht="18" customHeight="1" thickBot="1" x14ac:dyDescent="0.3">
      <c r="B4" s="28"/>
      <c r="C4" s="75"/>
      <c r="D4" s="76"/>
      <c r="E4" s="77"/>
      <c r="F4" s="33"/>
    </row>
    <row r="5" spans="2:12" ht="18.75" customHeight="1" thickBot="1" x14ac:dyDescent="0.3">
      <c r="B5" s="29"/>
      <c r="C5" s="88" t="s">
        <v>41</v>
      </c>
      <c r="D5" s="55"/>
      <c r="E5" s="89"/>
      <c r="F5" s="82"/>
    </row>
    <row r="6" spans="2:12" ht="15.75" thickBot="1" x14ac:dyDescent="0.3">
      <c r="B6" s="29"/>
      <c r="C6" s="86" t="s">
        <v>2</v>
      </c>
      <c r="D6" s="87" t="s">
        <v>118</v>
      </c>
      <c r="E6" s="85">
        <v>2025</v>
      </c>
      <c r="F6" s="34"/>
    </row>
    <row r="7" spans="2:12" ht="25.5" x14ac:dyDescent="0.25">
      <c r="B7" s="29"/>
      <c r="C7" s="90" t="s">
        <v>119</v>
      </c>
      <c r="D7" s="91" t="s">
        <v>118</v>
      </c>
      <c r="E7" s="92" t="s">
        <v>120</v>
      </c>
      <c r="F7" s="34"/>
    </row>
    <row r="8" spans="2:12" ht="18.75" customHeight="1" x14ac:dyDescent="0.25">
      <c r="B8" s="29"/>
      <c r="C8" s="93" t="s">
        <v>50</v>
      </c>
      <c r="D8" s="94"/>
      <c r="E8" s="95" t="s">
        <v>130</v>
      </c>
      <c r="F8" s="34"/>
    </row>
    <row r="9" spans="2:12" ht="18.75" customHeight="1" thickBot="1" x14ac:dyDescent="0.3">
      <c r="B9" s="29"/>
      <c r="C9" s="80" t="str">
        <f>FI_Comm!E13</f>
        <v>ELC_FIN</v>
      </c>
      <c r="D9" s="13" t="s">
        <v>121</v>
      </c>
      <c r="E9" s="81">
        <f>100/GRID!H6</f>
        <v>113.63636363636364</v>
      </c>
      <c r="F9" s="34"/>
    </row>
    <row r="10" spans="2:12" ht="18" customHeight="1" thickBot="1" x14ac:dyDescent="0.3">
      <c r="B10" s="30"/>
      <c r="C10" s="31"/>
      <c r="D10" s="31"/>
      <c r="E10" s="31"/>
      <c r="F10" s="32"/>
    </row>
    <row r="12" spans="2:12" ht="15.75" thickBot="1" x14ac:dyDescent="0.3"/>
    <row r="13" spans="2:12" ht="16.5" thickBot="1" x14ac:dyDescent="0.3">
      <c r="C13" s="54"/>
      <c r="D13" s="55"/>
      <c r="E13" s="55"/>
      <c r="F13" s="65" t="s">
        <v>41</v>
      </c>
      <c r="G13" s="55"/>
      <c r="H13" s="55"/>
      <c r="I13" s="55"/>
      <c r="J13" s="55"/>
      <c r="K13" s="55"/>
      <c r="L13" s="56"/>
    </row>
    <row r="14" spans="2:12" ht="15.75" thickBot="1" x14ac:dyDescent="0.3">
      <c r="C14" s="66" t="s">
        <v>22</v>
      </c>
      <c r="D14" s="12" t="s">
        <v>136</v>
      </c>
      <c r="E14" s="12" t="s">
        <v>102</v>
      </c>
      <c r="F14" s="12" t="s">
        <v>42</v>
      </c>
      <c r="G14" s="12" t="s">
        <v>105</v>
      </c>
      <c r="H14" s="12" t="s">
        <v>106</v>
      </c>
      <c r="I14" s="12" t="s">
        <v>104</v>
      </c>
      <c r="J14" s="12" t="s">
        <v>107</v>
      </c>
      <c r="K14" s="12" t="s">
        <v>108</v>
      </c>
      <c r="L14" s="67" t="s">
        <v>109</v>
      </c>
    </row>
    <row r="15" spans="2:12" ht="38.25" x14ac:dyDescent="0.25">
      <c r="C15" s="68" t="s">
        <v>43</v>
      </c>
      <c r="D15" s="14" t="s">
        <v>32</v>
      </c>
      <c r="E15" s="14" t="s">
        <v>103</v>
      </c>
      <c r="F15" s="14" t="s">
        <v>44</v>
      </c>
      <c r="G15" s="14" t="s">
        <v>110</v>
      </c>
      <c r="H15" s="14" t="s">
        <v>111</v>
      </c>
      <c r="I15" s="14" t="s">
        <v>112</v>
      </c>
      <c r="J15" s="14" t="s">
        <v>113</v>
      </c>
      <c r="K15" s="14" t="s">
        <v>114</v>
      </c>
      <c r="L15" s="69" t="s">
        <v>115</v>
      </c>
    </row>
    <row r="16" spans="2:12" x14ac:dyDescent="0.25">
      <c r="C16" s="78" t="s">
        <v>50</v>
      </c>
      <c r="D16" s="15"/>
      <c r="E16" s="15"/>
      <c r="F16" s="15"/>
      <c r="G16" s="15" t="s">
        <v>69</v>
      </c>
      <c r="H16" s="15" t="s">
        <v>131</v>
      </c>
      <c r="I16" s="15" t="s">
        <v>122</v>
      </c>
      <c r="J16" s="15" t="s">
        <v>122</v>
      </c>
      <c r="K16" s="15" t="s">
        <v>76</v>
      </c>
      <c r="L16" s="79" t="s">
        <v>75</v>
      </c>
    </row>
    <row r="17" spans="3:12" ht="15.75" thickBot="1" x14ac:dyDescent="0.3">
      <c r="C17" s="109" t="str">
        <f>FI_Process!E19</f>
        <v>DMD_FIN_ELC</v>
      </c>
      <c r="D17" s="109" t="str">
        <f>FI_Process!F19</f>
        <v>Final electricity demand</v>
      </c>
      <c r="E17" s="109" t="str">
        <f>FI_Comm!E12</f>
        <v>ELC_LV</v>
      </c>
      <c r="F17" s="109" t="str">
        <f>FI_Comm!E13</f>
        <v>ELC_FIN</v>
      </c>
      <c r="G17" s="109"/>
      <c r="H17" s="109">
        <v>1</v>
      </c>
      <c r="I17" s="109">
        <v>1</v>
      </c>
      <c r="J17" s="109"/>
      <c r="K17" s="109"/>
      <c r="L17" s="10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GRID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Maciej Raczyński</cp:lastModifiedBy>
  <dcterms:created xsi:type="dcterms:W3CDTF">2015-06-05T18:17:20Z</dcterms:created>
  <dcterms:modified xsi:type="dcterms:W3CDTF">2025-11-04T08:07:38Z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